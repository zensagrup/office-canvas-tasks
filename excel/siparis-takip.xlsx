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parişler" sheetId="1" state="visible" r:id="rId1"/>
    <sheet name="Öz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₺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2" fillId="0" borderId="0" pivotButton="0" quotePrefix="0" xfId="0"/>
    <xf numFmtId="0" fontId="3" fillId="2" borderId="0" pivotButton="0" quotePrefix="0" xfId="0"/>
    <xf numFmtId="166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6" customWidth="1" min="4" max="4"/>
    <col width="10" customWidth="1" min="5" max="5"/>
    <col width="8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İŞ SON DURUMU</t>
        </is>
      </c>
      <c r="B1" s="1" t="inlineStr">
        <is>
          <t>TARİH</t>
        </is>
      </c>
      <c r="C1" s="1" t="inlineStr">
        <is>
          <t>SİPARİŞ ALINAN FİRMA</t>
        </is>
      </c>
      <c r="D1" s="1" t="inlineStr">
        <is>
          <t>ÜRÜN ADI</t>
        </is>
      </c>
      <c r="E1" s="1" t="inlineStr">
        <is>
          <t>RENK</t>
        </is>
      </c>
      <c r="F1" s="1" t="inlineStr">
        <is>
          <t>ADET</t>
        </is>
      </c>
      <c r="G1" s="1" t="inlineStr">
        <is>
          <t>BİRİM FİYAT (TL)</t>
        </is>
      </c>
      <c r="H1" s="1" t="inlineStr">
        <is>
          <t>ÇANTA FİYATI (TL)</t>
        </is>
      </c>
      <c r="I1" s="1" t="inlineStr">
        <is>
          <t>VERİLEN FİYAT</t>
        </is>
      </c>
      <c r="J1" s="1" t="inlineStr">
        <is>
          <t>KALAN PARA</t>
        </is>
      </c>
      <c r="K1" s="1" t="inlineStr">
        <is>
          <t>ALINAN ÖDEME</t>
        </is>
      </c>
      <c r="L1" s="1" t="inlineStr">
        <is>
          <t>KALAN ÖDEME</t>
        </is>
      </c>
    </row>
    <row r="2">
      <c r="A2" s="2" t="inlineStr">
        <is>
          <t>Tamamlandı</t>
        </is>
      </c>
      <c r="B2" s="3" t="n">
        <v>46235</v>
      </c>
      <c r="C2" s="2" t="inlineStr">
        <is>
          <t>ABC Tekstil</t>
        </is>
      </c>
      <c r="D2" s="2" t="inlineStr">
        <is>
          <t>Dikdörtgen Çanta</t>
        </is>
      </c>
      <c r="E2" s="2" t="inlineStr">
        <is>
          <t>Kırmızı</t>
        </is>
      </c>
      <c r="F2" s="2" t="n">
        <v>100</v>
      </c>
      <c r="G2" s="4" t="n">
        <v>25</v>
      </c>
      <c r="H2" s="4" t="n">
        <v>5</v>
      </c>
      <c r="I2" s="4" t="n">
        <v>3000</v>
      </c>
      <c r="J2" s="4">
        <f>I2-(G2*F2+H2*F2)</f>
        <v/>
      </c>
      <c r="K2" s="4" t="n">
        <v>3000</v>
      </c>
      <c r="L2" s="4">
        <f>I2-K2</f>
        <v/>
      </c>
    </row>
    <row r="3">
      <c r="A3" s="2" t="inlineStr">
        <is>
          <t>Devam Ediyor</t>
        </is>
      </c>
      <c r="B3" s="3" t="n">
        <v>46239</v>
      </c>
      <c r="C3" s="2" t="inlineStr">
        <is>
          <t>XYZ Moda</t>
        </is>
      </c>
      <c r="D3" s="2" t="inlineStr">
        <is>
          <t>Yuvarlak Çanta</t>
        </is>
      </c>
      <c r="E3" s="2" t="inlineStr">
        <is>
          <t>Mavi</t>
        </is>
      </c>
      <c r="F3" s="2" t="n">
        <v>50</v>
      </c>
      <c r="G3" s="4" t="n">
        <v>30</v>
      </c>
      <c r="H3" s="4" t="n">
        <v>6</v>
      </c>
      <c r="I3" s="4" t="n">
        <v>1500</v>
      </c>
      <c r="J3" s="4">
        <f>I3-(G3*F3+H3*F3)</f>
        <v/>
      </c>
      <c r="K3" s="4" t="n">
        <v>1000</v>
      </c>
      <c r="L3" s="4">
        <f>I3-K3</f>
        <v/>
      </c>
    </row>
    <row r="4">
      <c r="A4" s="2" t="inlineStr">
        <is>
          <t>Beklemede</t>
        </is>
      </c>
      <c r="B4" s="3" t="n">
        <v>46244</v>
      </c>
      <c r="C4" s="2" t="inlineStr">
        <is>
          <t>Delta Sanayi</t>
        </is>
      </c>
      <c r="D4" s="2" t="inlineStr">
        <is>
          <t>Kare Çanta</t>
        </is>
      </c>
      <c r="E4" s="2" t="inlineStr">
        <is>
          <t>Yeşil</t>
        </is>
      </c>
      <c r="F4" s="2" t="n">
        <v>200</v>
      </c>
      <c r="G4" s="4" t="n">
        <v>20</v>
      </c>
      <c r="H4" s="4" t="n">
        <v>4</v>
      </c>
      <c r="I4" s="4" t="n">
        <v>4000</v>
      </c>
      <c r="J4" s="4">
        <f>I4-(G4*F4+H4*F4)</f>
        <v/>
      </c>
      <c r="K4" s="4" t="n">
        <v>2000</v>
      </c>
      <c r="L4" s="4">
        <f>I4-K4</f>
        <v/>
      </c>
    </row>
    <row r="5">
      <c r="A5" s="2" t="inlineStr">
        <is>
          <t>Tamamlandı</t>
        </is>
      </c>
      <c r="B5" s="3" t="n">
        <v>46246</v>
      </c>
      <c r="C5" s="2" t="inlineStr">
        <is>
          <t>ABC Tekstil</t>
        </is>
      </c>
      <c r="D5" s="2" t="inlineStr">
        <is>
          <t>Üçgen Çanta</t>
        </is>
      </c>
      <c r="E5" s="2" t="inlineStr">
        <is>
          <t>Siyah</t>
        </is>
      </c>
      <c r="F5" s="2" t="n">
        <v>80</v>
      </c>
      <c r="G5" s="4" t="n">
        <v>28</v>
      </c>
      <c r="H5" s="4" t="n">
        <v>5.5</v>
      </c>
      <c r="I5" s="4" t="n">
        <v>2240</v>
      </c>
      <c r="J5" s="4">
        <f>I5-(G5*F5+H5*F5)</f>
        <v/>
      </c>
      <c r="K5" s="4" t="n">
        <v>2240</v>
      </c>
      <c r="L5" s="4">
        <f>I5-K5</f>
        <v/>
      </c>
    </row>
    <row r="6">
      <c r="A6" s="2" t="inlineStr">
        <is>
          <t>Devam Ediyor</t>
        </is>
      </c>
      <c r="B6" s="3" t="n">
        <v>46249</v>
      </c>
      <c r="C6" s="2" t="inlineStr">
        <is>
          <t>Nova A.Ş.</t>
        </is>
      </c>
      <c r="D6" s="2" t="inlineStr">
        <is>
          <t>Oval Çanta</t>
        </is>
      </c>
      <c r="E6" s="2" t="inlineStr">
        <is>
          <t>Beyaz</t>
        </is>
      </c>
      <c r="F6" s="2" t="n">
        <v>120</v>
      </c>
      <c r="G6" s="4" t="n">
        <v>22</v>
      </c>
      <c r="H6" s="4" t="n">
        <v>4.5</v>
      </c>
      <c r="I6" s="4" t="n">
        <v>2640</v>
      </c>
      <c r="J6" s="4">
        <f>I6-(G6*F6+H6*F6)</f>
        <v/>
      </c>
      <c r="K6" s="4" t="n">
        <v>1500</v>
      </c>
      <c r="L6" s="4">
        <f>I6-K6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5" t="inlineStr">
        <is>
          <t>Sipariş Takip Özeti</t>
        </is>
      </c>
    </row>
    <row r="3">
      <c r="A3" s="6" t="inlineStr">
        <is>
          <t>Gösterge</t>
        </is>
      </c>
      <c r="B3" s="6" t="inlineStr">
        <is>
          <t>Değer</t>
        </is>
      </c>
    </row>
    <row r="4">
      <c r="A4" t="inlineStr">
        <is>
          <t>Toplam Sipariş</t>
        </is>
      </c>
      <c r="B4" s="7">
        <f>COUNTA(Siparişler!A2:A100000)</f>
        <v/>
      </c>
    </row>
    <row r="5">
      <c r="A5" t="inlineStr">
        <is>
          <t>Toplam Verilen Fiyat (TL)</t>
        </is>
      </c>
      <c r="B5" s="7">
        <f>SUM(Siparişler!I2:I100000)</f>
        <v/>
      </c>
    </row>
    <row r="6">
      <c r="A6" t="inlineStr">
        <is>
          <t>Toplam Alınan Ödeme (TL)</t>
        </is>
      </c>
      <c r="B6" s="7">
        <f>SUM(Siparişler!K2:K100000)</f>
        <v/>
      </c>
    </row>
    <row r="7">
      <c r="A7" t="inlineStr">
        <is>
          <t>Toplam Kalan Ödeme (TL)</t>
        </is>
      </c>
      <c r="B7" s="7">
        <f>SUM(Siparişler!L2:L100000)</f>
        <v/>
      </c>
    </row>
    <row r="8">
      <c r="A8" t="inlineStr">
        <is>
          <t>Toplam Kalan Para (TL)</t>
        </is>
      </c>
      <c r="B8" s="7">
        <f>SUM(Siparişler!J2:J100000)</f>
        <v/>
      </c>
    </row>
    <row r="9">
      <c r="A9" t="inlineStr">
        <is>
          <t>Firma Sayısı</t>
        </is>
      </c>
      <c r="B9" s="7">
        <f>SUMPRODUCT(1/COUNTIF(Siparişler!C2:C100000,Siparişler!C2:C100000&amp;""))</f>
        <v/>
      </c>
    </row>
    <row r="11">
      <c r="A11" s="8" t="inlineStr">
        <is>
          <t>Durum Dağılımı</t>
        </is>
      </c>
    </row>
    <row r="12">
      <c r="A12" s="6" t="inlineStr">
        <is>
          <t>Durum</t>
        </is>
      </c>
      <c r="B12" s="6" t="inlineStr">
        <is>
          <t>Adet</t>
        </is>
      </c>
    </row>
    <row r="13">
      <c r="A13" t="inlineStr">
        <is>
          <t>Tamamlandı</t>
        </is>
      </c>
      <c r="B13">
        <f>COUNTIF(Siparişler!A2:A100000,"Tamamlandı")</f>
        <v/>
      </c>
    </row>
    <row r="14">
      <c r="A14" t="inlineStr">
        <is>
          <t>Devam Ediyor</t>
        </is>
      </c>
      <c r="B14">
        <f>COUNTIF(Siparişler!A2:A100000,"Devam Ediyor")</f>
        <v/>
      </c>
    </row>
    <row r="15">
      <c r="A15" t="inlineStr">
        <is>
          <t>Beklemede</t>
        </is>
      </c>
      <c r="B15">
        <f>COUNTIF(Siparişler!A2:A100000,"Beklemede")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2026-08-25T11:13:36Z</dcterms:created>
  <dcterms:modified xsi:type="dcterms:W3CDTF">2026-08-25T11:13:37Z</dcterms:modified>
</cp:coreProperties>
</file>